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fileSharing readOnlyRecommended="1"/>
  <workbookPr codeName="ThisWorkbook"/>
  <bookViews>
    <workbookView xWindow="600" yWindow="270" windowWidth="6915" windowHeight="5430" firstSheet="1" activeTab="1"/>
  </bookViews>
  <sheets>
    <sheet name="pldt" sheetId="4" state="veryHidden" r:id="rId1"/>
    <sheet name="Interest Rate Measures" sheetId="5" r:id="rId2"/>
  </sheets>
  <functionGroups/>
  <definedNames>
    <definedName name="mat_1">'Interest Rate Measures'!$T$10:$T$23</definedName>
    <definedName name="mat_2">'Interest Rate Measures'!$U$10:$U$23</definedName>
    <definedName name="_xlnm.Print_Area" localSheetId="1">'Interest Rate Measures'!$G$7:$K$24</definedName>
  </definedNames>
  <calcPr calcId="125725"/>
</workbook>
</file>

<file path=xl/calcChain.xml><?xml version="1.0" encoding="utf-8"?>
<calcChain xmlns="http://schemas.openxmlformats.org/spreadsheetml/2006/main">
  <c r="I9" i="5"/>
  <c r="Z9" s="1"/>
  <c r="D9"/>
  <c r="E9"/>
  <c r="X20"/>
  <c r="U11"/>
  <c r="U12" s="1"/>
  <c r="U13" s="1"/>
  <c r="U14" s="1"/>
  <c r="U15" s="1"/>
  <c r="U16" s="1"/>
  <c r="U17" s="1"/>
  <c r="U18" s="1"/>
  <c r="U19" s="1"/>
  <c r="V15"/>
  <c r="V16" s="1"/>
  <c r="V17" s="1"/>
  <c r="V18" s="1"/>
  <c r="V19" s="1"/>
  <c r="T11"/>
  <c r="T12" s="1"/>
  <c r="T13" s="1"/>
  <c r="T14" s="1"/>
  <c r="T15" s="1"/>
  <c r="T16" s="1"/>
  <c r="T17" s="1"/>
  <c r="T18" s="1"/>
  <c r="T19" s="1"/>
  <c r="T20" s="1"/>
  <c r="T21" s="1"/>
  <c r="T22" s="1"/>
  <c r="T23" s="1"/>
  <c r="B9"/>
  <c r="C8"/>
  <c r="B8"/>
  <c r="X12"/>
  <c r="X11"/>
  <c r="X10"/>
  <c r="AB9"/>
  <c r="AA9"/>
  <c r="Y9"/>
  <c r="A9"/>
  <c r="C9"/>
  <c r="H10" a="1"/>
  <c r="A10" l="1" a="1"/>
  <c r="A10" s="1"/>
  <c r="H10"/>
  <c r="K10" s="1" a="1"/>
  <c r="H21"/>
  <c r="H17"/>
  <c r="H13"/>
  <c r="H23"/>
  <c r="H19"/>
  <c r="H15"/>
  <c r="H11"/>
  <c r="H22"/>
  <c r="H20"/>
  <c r="H18"/>
  <c r="H16"/>
  <c r="H14"/>
  <c r="H12"/>
  <c r="A19"/>
  <c r="A17"/>
  <c r="A15"/>
  <c r="A13"/>
  <c r="A11"/>
  <c r="A22"/>
  <c r="A20"/>
  <c r="A18"/>
  <c r="A16"/>
  <c r="A14"/>
  <c r="A12"/>
  <c r="X13"/>
  <c r="A21" l="1"/>
  <c r="A23"/>
  <c r="I10" a="1"/>
  <c r="J10" a="1"/>
  <c r="X14"/>
  <c r="I20"/>
  <c r="K20"/>
  <c r="K18"/>
  <c r="K19"/>
  <c r="K13"/>
  <c r="I18"/>
  <c r="K22"/>
  <c r="K23"/>
  <c r="I21"/>
  <c r="I11"/>
  <c r="K16"/>
  <c r="I12"/>
  <c r="I23"/>
  <c r="I19"/>
  <c r="K12"/>
  <c r="K10"/>
  <c r="I15"/>
  <c r="I22"/>
  <c r="I10"/>
  <c r="K14"/>
  <c r="K21"/>
  <c r="I13"/>
  <c r="K17"/>
  <c r="I16"/>
  <c r="K15"/>
  <c r="I14"/>
  <c r="K11"/>
  <c r="I17"/>
  <c r="X15" l="1"/>
  <c r="J18"/>
  <c r="J20"/>
  <c r="J11"/>
  <c r="J12"/>
  <c r="J16"/>
  <c r="J13"/>
  <c r="J10"/>
  <c r="J15"/>
  <c r="J23"/>
  <c r="J14"/>
  <c r="J22"/>
  <c r="J17"/>
  <c r="J21"/>
  <c r="J19"/>
  <c r="X16" l="1"/>
  <c r="X17" l="1"/>
  <c r="X18" l="1"/>
  <c r="X19" l="1"/>
  <c r="X21" l="1"/>
  <c r="X22" l="1"/>
  <c r="X23" l="1"/>
  <c r="Y21" l="1"/>
  <c r="Y13"/>
  <c r="Y18"/>
  <c r="Y23"/>
  <c r="Y15"/>
  <c r="Y20"/>
  <c r="Y12"/>
  <c r="Y17"/>
  <c r="Y22"/>
  <c r="Y14"/>
  <c r="Y19"/>
  <c r="Y11"/>
  <c r="Y16"/>
  <c r="N10" a="1"/>
  <c r="N14" l="1"/>
  <c r="N16"/>
  <c r="N26"/>
  <c r="N28"/>
  <c r="N38"/>
  <c r="N11"/>
  <c r="N31"/>
  <c r="N35"/>
  <c r="N37"/>
  <c r="N25"/>
  <c r="N12"/>
  <c r="N22"/>
  <c r="N24"/>
  <c r="N34"/>
  <c r="N36"/>
  <c r="N33"/>
  <c r="N23"/>
  <c r="N27"/>
  <c r="N21"/>
  <c r="N29"/>
  <c r="N10"/>
  <c r="N18"/>
  <c r="N20"/>
  <c r="N30"/>
  <c r="N32"/>
  <c r="N15"/>
  <c r="N19"/>
  <c r="N39"/>
  <c r="N13"/>
  <c r="N17"/>
  <c r="Y10"/>
  <c r="Z10" l="1"/>
  <c r="Z18"/>
  <c r="Z20"/>
  <c r="Z14"/>
  <c r="Z16"/>
  <c r="Z23"/>
  <c r="Z22"/>
  <c r="Z12"/>
  <c r="Z19"/>
  <c r="Z15"/>
  <c r="Z17"/>
  <c r="Z11"/>
  <c r="Z13"/>
  <c r="H24"/>
  <c r="AA23" l="1"/>
  <c r="AA19"/>
  <c r="AA17"/>
  <c r="AB11"/>
  <c r="AB18"/>
  <c r="AA15"/>
  <c r="AA13"/>
  <c r="AB20"/>
  <c r="AB14"/>
  <c r="AA11"/>
  <c r="AA20"/>
  <c r="AB16"/>
  <c r="AB10"/>
  <c r="AA21"/>
  <c r="AB15"/>
  <c r="AB22"/>
  <c r="AA14"/>
  <c r="AA12"/>
  <c r="AB21"/>
  <c r="AA10"/>
  <c r="AB23"/>
  <c r="AB17"/>
  <c r="AA22"/>
  <c r="AB19"/>
  <c r="AB13"/>
  <c r="AA18"/>
  <c r="AA16"/>
  <c r="AB12"/>
  <c r="Z21"/>
</calcChain>
</file>

<file path=xl/sharedStrings.xml><?xml version="1.0" encoding="utf-8"?>
<sst xmlns="http://schemas.openxmlformats.org/spreadsheetml/2006/main" count="23" uniqueCount="22">
  <si>
    <t>Spot Rates</t>
  </si>
  <si>
    <t>Forward Rates</t>
  </si>
  <si>
    <t>Par Yields</t>
  </si>
  <si>
    <t>R A T E  T A B L E</t>
  </si>
  <si>
    <t>Par Yield</t>
  </si>
  <si>
    <t>CHART DATA</t>
  </si>
  <si>
    <t>CALCULATIONS</t>
  </si>
  <si>
    <t>Please specify your type of inputs:</t>
  </si>
  <si>
    <t>Bond Characteristics</t>
  </si>
  <si>
    <t>Implied Future Spot Rates</t>
  </si>
  <si>
    <t>Mini-Module 1: Overview of Different Interest Rate Measures</t>
  </si>
  <si>
    <t>Please specify the base date for the implied future spot rate:</t>
  </si>
  <si>
    <t>1 year from today</t>
  </si>
  <si>
    <t>2 years from today</t>
  </si>
  <si>
    <t>3 years from today</t>
  </si>
  <si>
    <t>4 years from today</t>
  </si>
  <si>
    <t>5 years from today</t>
  </si>
  <si>
    <t>0 x 12</t>
  </si>
  <si>
    <t>168 x 180</t>
  </si>
  <si>
    <t>228 x 240</t>
  </si>
  <si>
    <t>288 x 300</t>
  </si>
  <si>
    <t>348 x 360</t>
  </si>
</sst>
</file>

<file path=xl/styles.xml><?xml version="1.0" encoding="utf-8"?>
<styleSheet xmlns="http://schemas.openxmlformats.org/spreadsheetml/2006/main">
  <numFmts count="5">
    <numFmt numFmtId="164" formatCode="0.000%"/>
    <numFmt numFmtId="165" formatCode="0.00_)"/>
    <numFmt numFmtId="166" formatCode="0.0%"/>
    <numFmt numFmtId="167" formatCode="0.0000%"/>
    <numFmt numFmtId="168" formatCode="_-[$$-1009]* #,##0.00_-;\-[$$-1009]* #,##0.00_-;_-[$$-1009]* &quot;-&quot;??_-;_-@_-"/>
  </numFmts>
  <fonts count="17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sz val="7"/>
      <name val="Small Fonts"/>
      <family val="2"/>
    </font>
    <font>
      <b/>
      <i/>
      <sz val="16"/>
      <name val="Helv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b/>
      <u/>
      <sz val="12"/>
      <name val="Arial"/>
      <family val="2"/>
    </font>
    <font>
      <b/>
      <sz val="10"/>
      <color rgb="FFFF0000"/>
      <name val="Arial"/>
      <family val="2"/>
    </font>
    <font>
      <b/>
      <u/>
      <sz val="10"/>
      <color theme="0"/>
      <name val="Arial"/>
      <family val="2"/>
    </font>
    <font>
      <b/>
      <u/>
      <sz val="8"/>
      <color theme="0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39" fontId="1" fillId="0" borderId="0"/>
    <xf numFmtId="38" fontId="2" fillId="2" borderId="0" applyNumberFormat="0" applyBorder="0" applyAlignment="0" applyProtection="0"/>
    <xf numFmtId="10" fontId="2" fillId="3" borderId="1" applyNumberFormat="0" applyBorder="0" applyAlignment="0" applyProtection="0"/>
    <xf numFmtId="37" fontId="5" fillId="0" borderId="0"/>
    <xf numFmtId="165" fontId="6" fillId="0" borderId="0"/>
    <xf numFmtId="9" fontId="1" fillId="0" borderId="0" applyFont="0" applyFill="0" applyBorder="0" applyAlignment="0" applyProtection="0"/>
    <xf numFmtId="10" fontId="1" fillId="0" borderId="0" applyFont="0" applyFill="0" applyBorder="0" applyAlignment="0" applyProtection="0"/>
  </cellStyleXfs>
  <cellXfs count="59">
    <xf numFmtId="0" fontId="0" fillId="0" borderId="0" xfId="0"/>
    <xf numFmtId="0" fontId="3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9" fillId="0" borderId="0" xfId="0" applyFont="1"/>
    <xf numFmtId="164" fontId="7" fillId="4" borderId="0" xfId="0" applyNumberFormat="1" applyFont="1" applyFill="1" applyBorder="1" applyAlignment="1">
      <alignment horizontal="center"/>
    </xf>
    <xf numFmtId="164" fontId="7" fillId="0" borderId="0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2" xfId="0" applyFont="1" applyBorder="1" applyAlignment="1">
      <alignment horizontal="center" wrapText="1"/>
    </xf>
    <xf numFmtId="0" fontId="2" fillId="0" borderId="0" xfId="0" applyNumberFormat="1" applyFont="1" applyFill="1" applyBorder="1" applyAlignment="1" applyProtection="1">
      <alignment horizontal="center"/>
      <protection locked="0"/>
    </xf>
    <xf numFmtId="0" fontId="10" fillId="0" borderId="0" xfId="0" applyFont="1"/>
    <xf numFmtId="0" fontId="11" fillId="0" borderId="0" xfId="0" applyFont="1"/>
    <xf numFmtId="166" fontId="0" fillId="0" borderId="0" xfId="6" applyNumberFormat="1" applyFont="1"/>
    <xf numFmtId="0" fontId="8" fillId="0" borderId="0" xfId="0" applyNumberFormat="1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>
      <alignment horizontal="center"/>
    </xf>
    <xf numFmtId="10" fontId="8" fillId="4" borderId="0" xfId="0" applyNumberFormat="1" applyFont="1" applyFill="1" applyBorder="1" applyAlignment="1" applyProtection="1">
      <alignment horizontal="center"/>
      <protection locked="0"/>
    </xf>
    <xf numFmtId="10" fontId="2" fillId="0" borderId="4" xfId="6" applyNumberFormat="1" applyFont="1" applyBorder="1" applyAlignment="1">
      <alignment horizontal="center"/>
    </xf>
    <xf numFmtId="10" fontId="2" fillId="0" borderId="0" xfId="6" applyNumberFormat="1" applyFont="1" applyBorder="1" applyAlignment="1">
      <alignment horizontal="center"/>
    </xf>
    <xf numFmtId="10" fontId="2" fillId="0" borderId="6" xfId="6" applyNumberFormat="1" applyFont="1" applyBorder="1" applyAlignment="1">
      <alignment horizontal="center"/>
    </xf>
    <xf numFmtId="10" fontId="2" fillId="0" borderId="5" xfId="6" applyNumberFormat="1" applyFont="1" applyBorder="1" applyAlignment="1">
      <alignment horizontal="center"/>
    </xf>
    <xf numFmtId="10" fontId="2" fillId="0" borderId="8" xfId="6" applyNumberFormat="1" applyFont="1" applyBorder="1" applyAlignment="1">
      <alignment horizontal="center"/>
    </xf>
    <xf numFmtId="10" fontId="2" fillId="0" borderId="7" xfId="6" applyNumberFormat="1" applyFont="1" applyBorder="1" applyAlignment="1">
      <alignment horizontal="center"/>
    </xf>
    <xf numFmtId="10" fontId="0" fillId="0" borderId="0" xfId="0" applyNumberFormat="1"/>
    <xf numFmtId="0" fontId="13" fillId="0" borderId="0" xfId="0" applyFont="1"/>
    <xf numFmtId="0" fontId="14" fillId="0" borderId="0" xfId="0" applyFont="1"/>
    <xf numFmtId="0" fontId="15" fillId="0" borderId="0" xfId="0" applyFont="1"/>
    <xf numFmtId="10" fontId="15" fillId="0" borderId="0" xfId="6" applyNumberFormat="1" applyFont="1" applyAlignment="1">
      <alignment horizontal="center"/>
    </xf>
    <xf numFmtId="0" fontId="15" fillId="0" borderId="0" xfId="0" applyFont="1" applyBorder="1" applyAlignment="1">
      <alignment horizontal="center"/>
    </xf>
    <xf numFmtId="0" fontId="15" fillId="0" borderId="0" xfId="0" applyNumberFormat="1" applyFont="1" applyFill="1" applyBorder="1" applyAlignment="1" applyProtection="1">
      <alignment horizontal="center"/>
      <protection locked="0"/>
    </xf>
    <xf numFmtId="166" fontId="15" fillId="0" borderId="0" xfId="6" applyNumberFormat="1" applyFont="1" applyBorder="1" applyAlignment="1">
      <alignment horizontal="center"/>
    </xf>
    <xf numFmtId="0" fontId="10" fillId="0" borderId="0" xfId="0" applyNumberFormat="1" applyFont="1"/>
    <xf numFmtId="10" fontId="15" fillId="0" borderId="0" xfId="6" applyNumberFormat="1" applyFont="1" applyFill="1" applyBorder="1" applyAlignment="1">
      <alignment horizontal="center"/>
    </xf>
    <xf numFmtId="0" fontId="10" fillId="0" borderId="0" xfId="0" applyFont="1" applyBorder="1"/>
    <xf numFmtId="0" fontId="13" fillId="0" borderId="0" xfId="0" applyFont="1" applyBorder="1"/>
    <xf numFmtId="0" fontId="16" fillId="0" borderId="0" xfId="0" applyFont="1" applyBorder="1" applyAlignment="1">
      <alignment horizontal="center" wrapText="1"/>
    </xf>
    <xf numFmtId="0" fontId="8" fillId="0" borderId="0" xfId="6" applyNumberFormat="1" applyFont="1" applyFill="1" applyBorder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10" fontId="8" fillId="0" borderId="0" xfId="0" applyNumberFormat="1" applyFont="1" applyFill="1" applyBorder="1" applyAlignment="1" applyProtection="1">
      <alignment horizontal="center"/>
      <protection locked="0"/>
    </xf>
    <xf numFmtId="167" fontId="8" fillId="0" borderId="0" xfId="0" applyNumberFormat="1" applyFont="1" applyFill="1" applyBorder="1" applyAlignment="1" applyProtection="1">
      <alignment horizontal="center"/>
      <protection locked="0"/>
    </xf>
    <xf numFmtId="0" fontId="2" fillId="0" borderId="0" xfId="6" applyNumberFormat="1" applyFont="1" applyBorder="1" applyAlignment="1">
      <alignment horizontal="center"/>
    </xf>
    <xf numFmtId="0" fontId="1" fillId="0" borderId="0" xfId="0" applyFont="1"/>
    <xf numFmtId="0" fontId="1" fillId="0" borderId="0" xfId="0" applyNumberFormat="1" applyFont="1"/>
    <xf numFmtId="10" fontId="15" fillId="0" borderId="0" xfId="6" applyNumberFormat="1" applyFont="1" applyBorder="1" applyAlignment="1">
      <alignment horizontal="center"/>
    </xf>
    <xf numFmtId="0" fontId="2" fillId="0" borderId="0" xfId="0" applyFont="1"/>
    <xf numFmtId="10" fontId="2" fillId="0" borderId="0" xfId="0" applyNumberFormat="1" applyFont="1" applyFill="1" applyBorder="1" applyAlignment="1" applyProtection="1">
      <alignment horizontal="center"/>
      <protection locked="0"/>
    </xf>
    <xf numFmtId="10" fontId="2" fillId="0" borderId="0" xfId="0" applyNumberFormat="1" applyFont="1" applyAlignment="1">
      <alignment horizontal="center"/>
    </xf>
    <xf numFmtId="2" fontId="2" fillId="0" borderId="0" xfId="6" applyNumberFormat="1" applyFont="1" applyBorder="1" applyAlignment="1">
      <alignment horizontal="center"/>
    </xf>
    <xf numFmtId="168" fontId="2" fillId="0" borderId="0" xfId="6" applyNumberFormat="1" applyFont="1" applyBorder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168" fontId="2" fillId="0" borderId="0" xfId="0" applyNumberFormat="1" applyFont="1" applyAlignment="1">
      <alignment horizontal="center"/>
    </xf>
    <xf numFmtId="10" fontId="0" fillId="0" borderId="0" xfId="6" applyNumberFormat="1" applyFont="1"/>
    <xf numFmtId="0" fontId="3" fillId="0" borderId="10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12" fillId="0" borderId="0" xfId="0" applyFont="1" applyFill="1" applyAlignment="1">
      <alignment horizontal="center"/>
    </xf>
  </cellXfs>
  <cellStyles count="8">
    <cellStyle name="date" xfId="1"/>
    <cellStyle name="Grey" xfId="2"/>
    <cellStyle name="Input [yellow]" xfId="3"/>
    <cellStyle name="no dec" xfId="4"/>
    <cellStyle name="Normal" xfId="0" builtinId="0"/>
    <cellStyle name="Normal - Style1" xfId="5"/>
    <cellStyle name="Percent" xfId="6" builtinId="5"/>
    <cellStyle name="Percent [2]" xfId="7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GB"/>
            </a:pPr>
            <a:r>
              <a:rPr lang="en-US" sz="1400"/>
              <a:t>Overview of Rate Measures</a:t>
            </a:r>
          </a:p>
        </c:rich>
      </c:tx>
      <c:layout>
        <c:manualLayout>
          <c:xMode val="edge"/>
          <c:yMode val="edge"/>
          <c:x val="0.38598797653238537"/>
          <c:y val="2.0253159173883751E-2"/>
        </c:manualLayout>
      </c:layout>
      <c:overlay val="1"/>
    </c:title>
    <c:plotArea>
      <c:layout>
        <c:manualLayout>
          <c:layoutTarget val="inner"/>
          <c:xMode val="edge"/>
          <c:yMode val="edge"/>
          <c:x val="8.3399410590382764E-2"/>
          <c:y val="3.7476849735380006E-2"/>
          <c:w val="0.89628664961187576"/>
          <c:h val="0.75402086341184726"/>
        </c:manualLayout>
      </c:layout>
      <c:lineChart>
        <c:grouping val="standard"/>
        <c:ser>
          <c:idx val="0"/>
          <c:order val="0"/>
          <c:tx>
            <c:strRef>
              <c:f>'Interest Rate Measures'!$Y$9</c:f>
              <c:strCache>
                <c:ptCount val="1"/>
                <c:pt idx="0">
                  <c:v>Spot Rates</c:v>
                </c:pt>
              </c:strCache>
            </c:strRef>
          </c:tx>
          <c:cat>
            <c:numRef>
              <c:f>'Interest Rate Measures'!$X$10:$X$39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</c:numCache>
            </c:numRef>
          </c:cat>
          <c:val>
            <c:numRef>
              <c:f>'Interest Rate Measures'!$Y$10:$Y$23</c:f>
              <c:numCache>
                <c:formatCode>0.0%</c:formatCode>
                <c:ptCount val="14"/>
                <c:pt idx="0">
                  <c:v>0.03</c:v>
                </c:pt>
                <c:pt idx="1">
                  <c:v>3.5999999999999997E-2</c:v>
                </c:pt>
                <c:pt idx="2">
                  <c:v>4.1000000000000002E-2</c:v>
                </c:pt>
                <c:pt idx="3">
                  <c:v>4.5199999999999997E-2</c:v>
                </c:pt>
                <c:pt idx="4">
                  <c:v>4.8800000000000003E-2</c:v>
                </c:pt>
                <c:pt idx="5">
                  <c:v>5.1799999999999999E-2</c:v>
                </c:pt>
                <c:pt idx="6">
                  <c:v>5.4300000000000001E-2</c:v>
                </c:pt>
                <c:pt idx="7">
                  <c:v>5.6500000000000002E-2</c:v>
                </c:pt>
                <c:pt idx="8">
                  <c:v>5.8400000000000001E-2</c:v>
                </c:pt>
                <c:pt idx="9">
                  <c:v>0.06</c:v>
                </c:pt>
                <c:pt idx="10">
                  <c:v>6.0999999999999999E-2</c:v>
                </c:pt>
                <c:pt idx="11">
                  <c:v>6.2E-2</c:v>
                </c:pt>
                <c:pt idx="12">
                  <c:v>6.25E-2</c:v>
                </c:pt>
                <c:pt idx="13">
                  <c:v>6.3E-2</c:v>
                </c:pt>
              </c:numCache>
            </c:numRef>
          </c:val>
        </c:ser>
        <c:ser>
          <c:idx val="1"/>
          <c:order val="1"/>
          <c:tx>
            <c:strRef>
              <c:f>'Interest Rate Measures'!$Z$9</c:f>
              <c:strCache>
                <c:ptCount val="1"/>
                <c:pt idx="0">
                  <c:v>1 Year Forward Rates</c:v>
                </c:pt>
              </c:strCache>
            </c:strRef>
          </c:tx>
          <c:cat>
            <c:numRef>
              <c:f>'Interest Rate Measures'!$X$10:$X$39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</c:numCache>
            </c:numRef>
          </c:cat>
          <c:val>
            <c:numRef>
              <c:f>'Interest Rate Measures'!$Z$10:$Z$23</c:f>
              <c:numCache>
                <c:formatCode>0.0%</c:formatCode>
                <c:ptCount val="14"/>
                <c:pt idx="0">
                  <c:v>0.03</c:v>
                </c:pt>
                <c:pt idx="1">
                  <c:v>4.2034951456310754E-2</c:v>
                </c:pt>
                <c:pt idx="2">
                  <c:v>5.1072510286071848E-2</c:v>
                </c:pt>
                <c:pt idx="3">
                  <c:v>5.7901945213502781E-2</c:v>
                </c:pt>
                <c:pt idx="4">
                  <c:v>6.3324423223057869E-2</c:v>
                </c:pt>
                <c:pt idx="5">
                  <c:v>6.6929210507218784E-2</c:v>
                </c:pt>
                <c:pt idx="6">
                  <c:v>6.9425281593084476E-2</c:v>
                </c:pt>
                <c:pt idx="7">
                  <c:v>7.2029078113305056E-2</c:v>
                </c:pt>
                <c:pt idx="8">
                  <c:v>7.3723527513319675E-2</c:v>
                </c:pt>
                <c:pt idx="9">
                  <c:v>7.4509283474956556E-2</c:v>
                </c:pt>
                <c:pt idx="10">
                  <c:v>7.1052033919304813E-2</c:v>
                </c:pt>
                <c:pt idx="11">
                  <c:v>7.3062401311911884E-2</c:v>
                </c:pt>
                <c:pt idx="12">
                  <c:v>6.85183933169069E-2</c:v>
                </c:pt>
                <c:pt idx="13">
                  <c:v>6.9521452121411365E-2</c:v>
                </c:pt>
              </c:numCache>
            </c:numRef>
          </c:val>
        </c:ser>
        <c:ser>
          <c:idx val="2"/>
          <c:order val="2"/>
          <c:tx>
            <c:strRef>
              <c:f>'Interest Rate Measures'!$AA$9</c:f>
              <c:strCache>
                <c:ptCount val="1"/>
                <c:pt idx="0">
                  <c:v>Par Yield</c:v>
                </c:pt>
              </c:strCache>
            </c:strRef>
          </c:tx>
          <c:cat>
            <c:numRef>
              <c:f>'Interest Rate Measures'!$X$10:$X$39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</c:numCache>
            </c:numRef>
          </c:cat>
          <c:val>
            <c:numRef>
              <c:f>'Interest Rate Measures'!$AA$10:$AA$23</c:f>
              <c:numCache>
                <c:formatCode>0.0%</c:formatCode>
                <c:ptCount val="14"/>
                <c:pt idx="0">
                  <c:v>0.03</c:v>
                </c:pt>
                <c:pt idx="1">
                  <c:v>3.58936069863681E-2</c:v>
                </c:pt>
                <c:pt idx="2">
                  <c:v>4.0717932065234885E-2</c:v>
                </c:pt>
                <c:pt idx="3">
                  <c:v>4.4687896793695919E-2</c:v>
                </c:pt>
                <c:pt idx="4">
                  <c:v>4.8014300366571082E-2</c:v>
                </c:pt>
                <c:pt idx="5">
                  <c:v>5.0725111451265001E-2</c:v>
                </c:pt>
                <c:pt idx="6">
                  <c:v>5.2935009979514981E-2</c:v>
                </c:pt>
                <c:pt idx="7">
                  <c:v>5.4830858758161988E-2</c:v>
                </c:pt>
                <c:pt idx="8">
                  <c:v>5.6430032090673182E-2</c:v>
                </c:pt>
                <c:pt idx="9">
                  <c:v>5.77502370526927E-2</c:v>
                </c:pt>
                <c:pt idx="10">
                  <c:v>5.8599254549841551E-2</c:v>
                </c:pt>
                <c:pt idx="11">
                  <c:v>5.9411244769173838E-2</c:v>
                </c:pt>
                <c:pt idx="12">
                  <c:v>5.9865865272113919E-2</c:v>
                </c:pt>
                <c:pt idx="13">
                  <c:v>6.0296435744503565E-2</c:v>
                </c:pt>
              </c:numCache>
            </c:numRef>
          </c:val>
        </c:ser>
        <c:ser>
          <c:idx val="3"/>
          <c:order val="3"/>
          <c:tx>
            <c:strRef>
              <c:f>'Interest Rate Measures'!$AB$9</c:f>
              <c:strCache>
                <c:ptCount val="1"/>
                <c:pt idx="0">
                  <c:v>Implied Future Spot Rates</c:v>
                </c:pt>
              </c:strCache>
            </c:strRef>
          </c:tx>
          <c:cat>
            <c:numRef>
              <c:f>'Interest Rate Measures'!$X$10:$X$39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</c:numCache>
            </c:numRef>
          </c:cat>
          <c:val>
            <c:numRef>
              <c:f>'Interest Rate Measures'!$AB$10:$AB$23</c:f>
              <c:numCache>
                <c:formatCode>0.0%</c:formatCode>
                <c:ptCount val="14"/>
                <c:pt idx="0">
                  <c:v>#N/A</c:v>
                </c:pt>
                <c:pt idx="1">
                  <c:v>4.2034951456310754E-2</c:v>
                </c:pt>
                <c:pt idx="2">
                  <c:v>4.6543975298223739E-2</c:v>
                </c:pt>
                <c:pt idx="3">
                  <c:v>5.0316351014207727E-2</c:v>
                </c:pt>
                <c:pt idx="4">
                  <c:v>5.355337378132452E-2</c:v>
                </c:pt>
                <c:pt idx="5">
                  <c:v>5.6215058212087055E-2</c:v>
                </c:pt>
                <c:pt idx="6">
                  <c:v>5.8405375283652639E-2</c:v>
                </c:pt>
                <c:pt idx="7">
                  <c:v>6.0340966800143558E-2</c:v>
                </c:pt>
                <c:pt idx="8">
                  <c:v>6.2004622307705759E-2</c:v>
                </c:pt>
                <c:pt idx="9">
                  <c:v>6.3386811582929692E-2</c:v>
                </c:pt>
                <c:pt idx="10">
                  <c:v>6.4150858710017467E-2</c:v>
                </c:pt>
                <c:pt idx="11">
                  <c:v>6.4957931473937247E-2</c:v>
                </c:pt>
                <c:pt idx="12">
                  <c:v>6.5254182942919403E-2</c:v>
                </c:pt>
                <c:pt idx="13">
                  <c:v>6.5581829080109122E-2</c:v>
                </c:pt>
              </c:numCache>
            </c:numRef>
          </c:val>
        </c:ser>
        <c:marker val="1"/>
        <c:axId val="89566592"/>
        <c:axId val="89573248"/>
      </c:lineChart>
      <c:catAx>
        <c:axId val="895665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GB"/>
                </a:pPr>
                <a:r>
                  <a:rPr lang="en-US"/>
                  <a:t>Maturity</a:t>
                </a:r>
              </a:p>
            </c:rich>
          </c:tx>
          <c:layout>
            <c:manualLayout>
              <c:xMode val="edge"/>
              <c:yMode val="edge"/>
              <c:x val="0.48840789460482598"/>
              <c:y val="0.85050484055820064"/>
            </c:manualLayout>
          </c:layout>
        </c:title>
        <c:numFmt formatCode="General" sourceLinked="1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89573248"/>
        <c:crosses val="autoZero"/>
        <c:auto val="1"/>
        <c:lblAlgn val="ctr"/>
        <c:lblOffset val="100"/>
      </c:catAx>
      <c:valAx>
        <c:axId val="895732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GB"/>
                </a:pPr>
                <a:r>
                  <a:rPr lang="en-GB"/>
                  <a:t>Rate Level</a:t>
                </a:r>
              </a:p>
            </c:rich>
          </c:tx>
          <c:layout/>
        </c:title>
        <c:numFmt formatCode="0.0%" sourceLinked="1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89566592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23</xdr:row>
      <xdr:rowOff>123823</xdr:rowOff>
    </xdr:from>
    <xdr:to>
      <xdr:col>9</xdr:col>
      <xdr:colOff>495301</xdr:colOff>
      <xdr:row>44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zoomScaleSheetLayoutView="4" workbookViewId="0"/>
  </sheetViews>
  <sheetFormatPr defaultRowHeight="12.75"/>
  <sheetData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U69"/>
  <sheetViews>
    <sheetView tabSelected="1" workbookViewId="0">
      <selection activeCell="D13" sqref="D13"/>
    </sheetView>
  </sheetViews>
  <sheetFormatPr defaultRowHeight="12.75"/>
  <cols>
    <col min="1" max="1" width="13.42578125" customWidth="1"/>
    <col min="2" max="2" width="10" customWidth="1"/>
    <col min="3" max="3" width="9.28515625" customWidth="1"/>
    <col min="4" max="4" width="12.7109375" customWidth="1"/>
    <col min="5" max="5" width="15" customWidth="1"/>
    <col min="6" max="6" width="14.85546875" customWidth="1"/>
    <col min="7" max="7" width="7.85546875" customWidth="1"/>
    <col min="8" max="8" width="13" customWidth="1"/>
    <col min="9" max="9" width="14.140625" customWidth="1"/>
    <col min="10" max="10" width="13.42578125" customWidth="1"/>
    <col min="11" max="11" width="12.85546875" customWidth="1"/>
    <col min="12" max="12" width="14.5703125" style="11" customWidth="1"/>
    <col min="13" max="23" width="9.140625" style="11"/>
    <col min="24" max="29" width="9.140625" style="33"/>
    <col min="30" max="47" width="9.140625" style="11"/>
  </cols>
  <sheetData>
    <row r="1" spans="1:30" ht="15.75">
      <c r="A1" s="12" t="s">
        <v>10</v>
      </c>
    </row>
    <row r="3" spans="1:30">
      <c r="AD3" s="11" t="s">
        <v>8</v>
      </c>
    </row>
    <row r="4" spans="1:30">
      <c r="A4" s="3" t="s">
        <v>7</v>
      </c>
      <c r="F4" s="3" t="s">
        <v>11</v>
      </c>
      <c r="AD4" s="11" t="s">
        <v>0</v>
      </c>
    </row>
    <row r="5" spans="1:30">
      <c r="AD5" s="11" t="s">
        <v>1</v>
      </c>
    </row>
    <row r="6" spans="1:30">
      <c r="A6">
        <v>2</v>
      </c>
      <c r="F6">
        <v>1</v>
      </c>
      <c r="AD6" s="11" t="s">
        <v>2</v>
      </c>
    </row>
    <row r="7" spans="1:30" ht="13.5" thickBot="1">
      <c r="X7" s="34" t="s">
        <v>5</v>
      </c>
    </row>
    <row r="8" spans="1:30" ht="13.5" thickBot="1">
      <c r="A8" s="6"/>
      <c r="B8" s="15" t="str">
        <f>IF(A6&gt;1,"INPUTS","")</f>
        <v>INPUTS</v>
      </c>
      <c r="C8" s="58" t="str">
        <f>IF(A6=1,"INPUTS","")</f>
        <v/>
      </c>
      <c r="D8" s="58"/>
      <c r="E8" s="58"/>
      <c r="H8" s="55" t="s">
        <v>3</v>
      </c>
      <c r="I8" s="56"/>
      <c r="J8" s="56"/>
      <c r="K8" s="57"/>
      <c r="N8" s="25" t="s">
        <v>6</v>
      </c>
    </row>
    <row r="9" spans="1:30" ht="25.5" customHeight="1">
      <c r="A9" s="1" t="str">
        <f>IF(A6=1,"",IF(A6=3,"Period (months)","Maturity"))</f>
        <v>Maturity</v>
      </c>
      <c r="B9" s="4" t="str">
        <f>IF(A6=1,"","Rates (in %)")</f>
        <v>Rates (in %)</v>
      </c>
      <c r="C9" s="5" t="str">
        <f>IF(A6=1,"Price","")</f>
        <v/>
      </c>
      <c r="D9" s="5" t="str">
        <f>IF(A6=1,"Coupon (in %)","")</f>
        <v/>
      </c>
      <c r="E9" s="5" t="str">
        <f>IF(A6=1,"Years to Maturity","")</f>
        <v/>
      </c>
      <c r="H9" s="7" t="s">
        <v>0</v>
      </c>
      <c r="I9" s="8" t="str">
        <f>IF(OR(E9=1,E9=2),"Par Yields","1 Year Forward Rates")</f>
        <v>1 Year Forward Rates</v>
      </c>
      <c r="J9" s="8" t="s">
        <v>4</v>
      </c>
      <c r="K9" s="9" t="s">
        <v>9</v>
      </c>
      <c r="N9" s="26"/>
      <c r="Y9" s="35" t="str">
        <f>H9</f>
        <v>Spot Rates</v>
      </c>
      <c r="Z9" s="35" t="str">
        <f t="shared" ref="Z9:AB9" si="0">I9</f>
        <v>1 Year Forward Rates</v>
      </c>
      <c r="AA9" s="35" t="str">
        <f t="shared" si="0"/>
        <v>Par Yield</v>
      </c>
      <c r="AB9" s="35" t="str">
        <f t="shared" si="0"/>
        <v>Implied Future Spot Rates</v>
      </c>
      <c r="AD9" s="24"/>
    </row>
    <row r="10" spans="1:30">
      <c r="A10" s="2">
        <f t="array" ref="A10:A23">IF(A6=1,"",IF(A6=3,mat_2,mat_1))</f>
        <v>1</v>
      </c>
      <c r="B10" s="16">
        <v>0.03</v>
      </c>
      <c r="C10" s="14"/>
      <c r="D10" s="36"/>
      <c r="E10" s="14"/>
      <c r="G10" s="10">
        <v>1</v>
      </c>
      <c r="H10" s="17">
        <f t="array" aca="1" ref="H10:H23" ca="1">IF(A6=1,IF(AND(COUNTA(C10:C23)&gt;3,COUNTA(D10:D23)&gt;3,COUNTA(E10:E23)&gt;3),cubicspline(OFFSET(E10,COUNTA(E10:E23)-1,0,-COUNTA(E10:E23),1),OFFSET(N10,COUNTA(N10:N23)-1,0,-COUNTA(N10:N23),1),G10:G23),""),IF(AND(A6&gt;1,COUNTA(B10:B23)=14),IF(A6=2,B10:B23,IF(A6=3,forward2spot(0,1,B10:B23),par2Spot(1,B10:B23))),""))</f>
        <v>0.03</v>
      </c>
      <c r="I10" s="18">
        <f t="array" ref="I10:I23" ca="1">IF(ISNUMBER(H10:H23),spot2forward(1,H10:H23),"")</f>
        <v>0.03</v>
      </c>
      <c r="J10" s="18">
        <f t="array" ref="J10:J23" ca="1">IF(ISNUMBER(H10:H23),spot2par(1,H10:H23),"")</f>
        <v>0.03</v>
      </c>
      <c r="K10" s="19" t="str">
        <f t="array" ref="K10:K23" ca="1">IF(ISNUMBER(H10:H23),IF(impliedFutureSpot(1,H10:H23,F6)&gt;0,impliedFutureSpot(1,H10:H23,F6),""),"")</f>
        <v/>
      </c>
      <c r="N10" s="27" t="str">
        <f t="array" aca="1" ref="N10:N39" ca="1">IF(COUNTA(C10:E39)&gt;5,price2spotrate(1,OFFSET(E10,COUNTA(E10:E39)-1,0,-COUNTA(E10:E39),1),OFFSET(C10,COUNTA(C10:C39)-1,0,-COUNTA(C10:C39),1),OFFSET(D10,COUNTA(D10:D39)-1,0,-COUNTA(D10:D39),1)),"")</f>
        <v/>
      </c>
      <c r="T10" s="28">
        <v>1</v>
      </c>
      <c r="U10" s="28" t="s">
        <v>17</v>
      </c>
      <c r="V10" s="11" t="s">
        <v>12</v>
      </c>
      <c r="X10" s="29">
        <f>G10</f>
        <v>1</v>
      </c>
      <c r="Y10" s="30">
        <f ca="1">IF(ISNUMBER(H10),H10,NA())</f>
        <v>0.03</v>
      </c>
      <c r="Z10" s="30">
        <f t="shared" ref="Z10:AB23" ca="1" si="1">IF(ISNUMBER(I10),I10,NA())</f>
        <v>0.03</v>
      </c>
      <c r="AA10" s="30">
        <f t="shared" ca="1" si="1"/>
        <v>0.03</v>
      </c>
      <c r="AB10" s="30" t="e">
        <f t="shared" ca="1" si="1"/>
        <v>#N/A</v>
      </c>
    </row>
    <row r="11" spans="1:30">
      <c r="A11" s="2">
        <v>2</v>
      </c>
      <c r="B11" s="16">
        <v>3.5999999999999997E-2</v>
      </c>
      <c r="C11" s="14"/>
      <c r="D11" s="36"/>
      <c r="E11" s="14"/>
      <c r="G11" s="10">
        <v>2</v>
      </c>
      <c r="H11" s="17">
        <f ca="1"/>
        <v>3.5999999999999997E-2</v>
      </c>
      <c r="I11" s="18">
        <f ca="1"/>
        <v>4.2034951456310754E-2</v>
      </c>
      <c r="J11" s="18">
        <f ca="1"/>
        <v>3.58936069863681E-2</v>
      </c>
      <c r="K11" s="19">
        <f ca="1"/>
        <v>4.2034951456310754E-2</v>
      </c>
      <c r="N11" s="27" t="str">
        <f ca="1"/>
        <v/>
      </c>
      <c r="T11" s="28">
        <f>T10+1</f>
        <v>2</v>
      </c>
      <c r="U11" s="28" t="str">
        <f>CONCATENATE(LEFT(U10,1)+12," x ",RIGHT(U10,2)+12)</f>
        <v>12 x 24</v>
      </c>
      <c r="V11" s="11" t="s">
        <v>13</v>
      </c>
      <c r="X11" s="29">
        <f t="shared" ref="X11:X23" si="2">G11</f>
        <v>2</v>
      </c>
      <c r="Y11" s="30">
        <f t="shared" ref="Y11:Y23" ca="1" si="3">IF(ISNUMBER(H11),H11,NA())</f>
        <v>3.5999999999999997E-2</v>
      </c>
      <c r="Z11" s="30">
        <f t="shared" ca="1" si="1"/>
        <v>4.2034951456310754E-2</v>
      </c>
      <c r="AA11" s="30">
        <f t="shared" ca="1" si="1"/>
        <v>3.58936069863681E-2</v>
      </c>
      <c r="AB11" s="30">
        <f t="shared" ca="1" si="1"/>
        <v>4.2034951456310754E-2</v>
      </c>
      <c r="AD11" s="31"/>
    </row>
    <row r="12" spans="1:30">
      <c r="A12" s="2">
        <v>3</v>
      </c>
      <c r="B12" s="16">
        <v>4.1000000000000002E-2</v>
      </c>
      <c r="C12" s="14"/>
      <c r="D12" s="36"/>
      <c r="E12" s="14"/>
      <c r="G12" s="10">
        <v>3</v>
      </c>
      <c r="H12" s="17">
        <f ca="1"/>
        <v>4.1000000000000002E-2</v>
      </c>
      <c r="I12" s="18">
        <f ca="1"/>
        <v>5.1072510286071848E-2</v>
      </c>
      <c r="J12" s="18">
        <f ca="1"/>
        <v>4.0717932065234885E-2</v>
      </c>
      <c r="K12" s="19">
        <f ca="1"/>
        <v>4.6543975298223739E-2</v>
      </c>
      <c r="N12" s="27" t="str">
        <f ca="1"/>
        <v/>
      </c>
      <c r="T12" s="28">
        <f t="shared" ref="T12:T19" si="4">T11+1</f>
        <v>3</v>
      </c>
      <c r="U12" s="28" t="str">
        <f>CONCATENATE(LEFT(U11,2)+12," x ",RIGHT(U11,2)+12)</f>
        <v>24 x 36</v>
      </c>
      <c r="V12" s="11" t="s">
        <v>14</v>
      </c>
      <c r="X12" s="29">
        <f t="shared" si="2"/>
        <v>3</v>
      </c>
      <c r="Y12" s="30">
        <f t="shared" ca="1" si="3"/>
        <v>4.1000000000000002E-2</v>
      </c>
      <c r="Z12" s="30">
        <f t="shared" ca="1" si="1"/>
        <v>5.1072510286071848E-2</v>
      </c>
      <c r="AA12" s="30">
        <f t="shared" ca="1" si="1"/>
        <v>4.0717932065234885E-2</v>
      </c>
      <c r="AB12" s="30">
        <f t="shared" ca="1" si="1"/>
        <v>4.6543975298223739E-2</v>
      </c>
      <c r="AD12" s="32"/>
    </row>
    <row r="13" spans="1:30">
      <c r="A13" s="2">
        <v>4</v>
      </c>
      <c r="B13" s="16">
        <v>4.5199999999999997E-2</v>
      </c>
      <c r="C13" s="14"/>
      <c r="D13" s="36"/>
      <c r="E13" s="14"/>
      <c r="G13" s="10">
        <v>4</v>
      </c>
      <c r="H13" s="17">
        <f ca="1"/>
        <v>4.5199999999999997E-2</v>
      </c>
      <c r="I13" s="18">
        <f ca="1"/>
        <v>5.7901945213502781E-2</v>
      </c>
      <c r="J13" s="18">
        <f ca="1"/>
        <v>4.4687896793695919E-2</v>
      </c>
      <c r="K13" s="19">
        <f ca="1"/>
        <v>5.0316351014207727E-2</v>
      </c>
      <c r="N13" s="27" t="str">
        <f ca="1"/>
        <v/>
      </c>
      <c r="T13" s="28">
        <f t="shared" si="4"/>
        <v>4</v>
      </c>
      <c r="U13" s="28" t="str">
        <f t="shared" ref="U13:U18" si="5">CONCATENATE(LEFT(U12,2)+12," x ",RIGHT(U12,2)+12)</f>
        <v>36 x 48</v>
      </c>
      <c r="V13" s="11" t="s">
        <v>15</v>
      </c>
      <c r="X13" s="29">
        <f t="shared" si="2"/>
        <v>4</v>
      </c>
      <c r="Y13" s="30">
        <f t="shared" ca="1" si="3"/>
        <v>4.5199999999999997E-2</v>
      </c>
      <c r="Z13" s="30">
        <f t="shared" ca="1" si="1"/>
        <v>5.7901945213502781E-2</v>
      </c>
      <c r="AA13" s="30">
        <f t="shared" ca="1" si="1"/>
        <v>4.4687896793695919E-2</v>
      </c>
      <c r="AB13" s="30">
        <f t="shared" ca="1" si="1"/>
        <v>5.0316351014207727E-2</v>
      </c>
    </row>
    <row r="14" spans="1:30">
      <c r="A14" s="2">
        <v>5</v>
      </c>
      <c r="B14" s="16">
        <v>4.8800000000000003E-2</v>
      </c>
      <c r="C14" s="14"/>
      <c r="D14" s="36"/>
      <c r="E14" s="14"/>
      <c r="G14" s="10">
        <v>5</v>
      </c>
      <c r="H14" s="17">
        <f ca="1"/>
        <v>4.8800000000000003E-2</v>
      </c>
      <c r="I14" s="18">
        <f ca="1"/>
        <v>6.3324423223057869E-2</v>
      </c>
      <c r="J14" s="18">
        <f ca="1"/>
        <v>4.8014300366571082E-2</v>
      </c>
      <c r="K14" s="19">
        <f ca="1"/>
        <v>5.355337378132452E-2</v>
      </c>
      <c r="N14" s="27" t="str">
        <f ca="1"/>
        <v/>
      </c>
      <c r="T14" s="28">
        <f t="shared" si="4"/>
        <v>5</v>
      </c>
      <c r="U14" s="28" t="str">
        <f t="shared" si="5"/>
        <v>48 x 60</v>
      </c>
      <c r="V14" s="11" t="s">
        <v>16</v>
      </c>
      <c r="X14" s="29">
        <f t="shared" si="2"/>
        <v>5</v>
      </c>
      <c r="Y14" s="30">
        <f t="shared" ca="1" si="3"/>
        <v>4.8800000000000003E-2</v>
      </c>
      <c r="Z14" s="30">
        <f t="shared" ca="1" si="1"/>
        <v>6.3324423223057869E-2</v>
      </c>
      <c r="AA14" s="30">
        <f t="shared" ca="1" si="1"/>
        <v>4.8014300366571082E-2</v>
      </c>
      <c r="AB14" s="30">
        <f t="shared" ca="1" si="1"/>
        <v>5.355337378132452E-2</v>
      </c>
    </row>
    <row r="15" spans="1:30">
      <c r="A15" s="2">
        <v>6</v>
      </c>
      <c r="B15" s="16">
        <v>5.1799999999999999E-2</v>
      </c>
      <c r="C15" s="14"/>
      <c r="D15" s="36"/>
      <c r="E15" s="14"/>
      <c r="G15" s="10">
        <v>6</v>
      </c>
      <c r="H15" s="17">
        <f ca="1"/>
        <v>5.1799999999999999E-2</v>
      </c>
      <c r="I15" s="18">
        <f ca="1"/>
        <v>6.6929210507218784E-2</v>
      </c>
      <c r="J15" s="18">
        <f ca="1"/>
        <v>5.0725111451265001E-2</v>
      </c>
      <c r="K15" s="19">
        <f ca="1"/>
        <v>5.6215058212087055E-2</v>
      </c>
      <c r="N15" s="27" t="str">
        <f ca="1"/>
        <v/>
      </c>
      <c r="T15" s="28">
        <f t="shared" si="4"/>
        <v>6</v>
      </c>
      <c r="U15" s="28" t="str">
        <f t="shared" si="5"/>
        <v>60 x 72</v>
      </c>
      <c r="V15" s="11" t="str">
        <f>CONCATENATE(LEFT(V14,1)+1," years from today")</f>
        <v>6 years from today</v>
      </c>
      <c r="X15" s="29">
        <f t="shared" si="2"/>
        <v>6</v>
      </c>
      <c r="Y15" s="30">
        <f t="shared" ca="1" si="3"/>
        <v>5.1799999999999999E-2</v>
      </c>
      <c r="Z15" s="30">
        <f t="shared" ca="1" si="1"/>
        <v>6.6929210507218784E-2</v>
      </c>
      <c r="AA15" s="30">
        <f t="shared" ca="1" si="1"/>
        <v>5.0725111451265001E-2</v>
      </c>
      <c r="AB15" s="30">
        <f t="shared" ca="1" si="1"/>
        <v>5.6215058212087055E-2</v>
      </c>
    </row>
    <row r="16" spans="1:30">
      <c r="A16" s="2">
        <v>7</v>
      </c>
      <c r="B16" s="16">
        <v>5.4300000000000001E-2</v>
      </c>
      <c r="C16" s="14"/>
      <c r="D16" s="36"/>
      <c r="E16" s="36"/>
      <c r="G16" s="10">
        <v>7</v>
      </c>
      <c r="H16" s="17">
        <f ca="1"/>
        <v>5.4300000000000001E-2</v>
      </c>
      <c r="I16" s="18">
        <f ca="1"/>
        <v>6.9425281593084476E-2</v>
      </c>
      <c r="J16" s="18">
        <f ca="1"/>
        <v>5.2935009979514981E-2</v>
      </c>
      <c r="K16" s="19">
        <f ca="1"/>
        <v>5.8405375283652639E-2</v>
      </c>
      <c r="N16" s="27" t="str">
        <f ca="1"/>
        <v/>
      </c>
      <c r="T16" s="28">
        <f t="shared" si="4"/>
        <v>7</v>
      </c>
      <c r="U16" s="28" t="str">
        <f t="shared" si="5"/>
        <v>72 x 84</v>
      </c>
      <c r="V16" s="11" t="str">
        <f t="shared" ref="V16:V19" si="6">CONCATENATE(LEFT(V15,1)+1," years from today")</f>
        <v>7 years from today</v>
      </c>
      <c r="X16" s="29">
        <f t="shared" si="2"/>
        <v>7</v>
      </c>
      <c r="Y16" s="30">
        <f t="shared" ca="1" si="3"/>
        <v>5.4300000000000001E-2</v>
      </c>
      <c r="Z16" s="30">
        <f t="shared" ca="1" si="1"/>
        <v>6.9425281593084476E-2</v>
      </c>
      <c r="AA16" s="30">
        <f t="shared" ca="1" si="1"/>
        <v>5.2935009979514981E-2</v>
      </c>
      <c r="AB16" s="30">
        <f t="shared" ca="1" si="1"/>
        <v>5.8405375283652639E-2</v>
      </c>
    </row>
    <row r="17" spans="1:28">
      <c r="A17" s="2">
        <v>8</v>
      </c>
      <c r="B17" s="16">
        <v>5.6500000000000002E-2</v>
      </c>
      <c r="C17" s="14"/>
      <c r="D17" s="36"/>
      <c r="E17" s="14"/>
      <c r="G17" s="10">
        <v>8</v>
      </c>
      <c r="H17" s="17">
        <f ca="1"/>
        <v>5.6500000000000002E-2</v>
      </c>
      <c r="I17" s="18">
        <f ca="1"/>
        <v>7.2029078113305056E-2</v>
      </c>
      <c r="J17" s="18">
        <f ca="1"/>
        <v>5.4830858758161988E-2</v>
      </c>
      <c r="K17" s="19">
        <f ca="1"/>
        <v>6.0340966800143558E-2</v>
      </c>
      <c r="N17" s="27" t="str">
        <f ca="1"/>
        <v/>
      </c>
      <c r="T17" s="28">
        <f t="shared" si="4"/>
        <v>8</v>
      </c>
      <c r="U17" s="28" t="str">
        <f t="shared" si="5"/>
        <v>84 x 96</v>
      </c>
      <c r="V17" s="11" t="str">
        <f t="shared" si="6"/>
        <v>8 years from today</v>
      </c>
      <c r="X17" s="29">
        <f t="shared" si="2"/>
        <v>8</v>
      </c>
      <c r="Y17" s="30">
        <f t="shared" ca="1" si="3"/>
        <v>5.6500000000000002E-2</v>
      </c>
      <c r="Z17" s="30">
        <f t="shared" ca="1" si="1"/>
        <v>7.2029078113305056E-2</v>
      </c>
      <c r="AA17" s="30">
        <f t="shared" ca="1" si="1"/>
        <v>5.4830858758161988E-2</v>
      </c>
      <c r="AB17" s="30">
        <f t="shared" ca="1" si="1"/>
        <v>6.0340966800143558E-2</v>
      </c>
    </row>
    <row r="18" spans="1:28">
      <c r="A18" s="2">
        <v>9</v>
      </c>
      <c r="B18" s="16">
        <v>5.8400000000000001E-2</v>
      </c>
      <c r="C18" s="39"/>
      <c r="D18" s="36"/>
      <c r="E18" s="14"/>
      <c r="G18" s="10">
        <v>9</v>
      </c>
      <c r="H18" s="17">
        <f ca="1"/>
        <v>5.8400000000000001E-2</v>
      </c>
      <c r="I18" s="18">
        <f ca="1"/>
        <v>7.3723527513319675E-2</v>
      </c>
      <c r="J18" s="18">
        <f ca="1"/>
        <v>5.6430032090673182E-2</v>
      </c>
      <c r="K18" s="19">
        <f ca="1"/>
        <v>6.2004622307705759E-2</v>
      </c>
      <c r="N18" s="27" t="str">
        <f ca="1"/>
        <v/>
      </c>
      <c r="T18" s="28">
        <f t="shared" si="4"/>
        <v>9</v>
      </c>
      <c r="U18" s="28" t="str">
        <f t="shared" si="5"/>
        <v>96 x 108</v>
      </c>
      <c r="V18" s="11" t="str">
        <f t="shared" si="6"/>
        <v>9 years from today</v>
      </c>
      <c r="X18" s="29">
        <f t="shared" si="2"/>
        <v>9</v>
      </c>
      <c r="Y18" s="30">
        <f t="shared" ca="1" si="3"/>
        <v>5.8400000000000001E-2</v>
      </c>
      <c r="Z18" s="30">
        <f t="shared" ca="1" si="1"/>
        <v>7.3723527513319675E-2</v>
      </c>
      <c r="AA18" s="30">
        <f t="shared" ca="1" si="1"/>
        <v>5.6430032090673182E-2</v>
      </c>
      <c r="AB18" s="30">
        <f t="shared" ca="1" si="1"/>
        <v>6.2004622307705759E-2</v>
      </c>
    </row>
    <row r="19" spans="1:28">
      <c r="A19" s="2">
        <v>10</v>
      </c>
      <c r="B19" s="16">
        <v>0.06</v>
      </c>
      <c r="C19" s="39"/>
      <c r="D19" s="36"/>
      <c r="E19" s="14"/>
      <c r="G19" s="10">
        <v>10</v>
      </c>
      <c r="H19" s="17">
        <f ca="1"/>
        <v>0.06</v>
      </c>
      <c r="I19" s="18">
        <f ca="1"/>
        <v>7.4509283474956556E-2</v>
      </c>
      <c r="J19" s="18">
        <f ca="1"/>
        <v>5.77502370526927E-2</v>
      </c>
      <c r="K19" s="19">
        <f ca="1"/>
        <v>6.3386811582929692E-2</v>
      </c>
      <c r="N19" s="27" t="str">
        <f ca="1"/>
        <v/>
      </c>
      <c r="T19" s="28">
        <f t="shared" si="4"/>
        <v>10</v>
      </c>
      <c r="U19" s="28" t="str">
        <f>CONCATENATE(LEFT(U18,2)+12," x ",RIGHT(U18,3)+12)</f>
        <v>108 x 120</v>
      </c>
      <c r="V19" s="11" t="str">
        <f t="shared" si="6"/>
        <v>10 years from today</v>
      </c>
      <c r="X19" s="29">
        <f t="shared" si="2"/>
        <v>10</v>
      </c>
      <c r="Y19" s="30">
        <f t="shared" ca="1" si="3"/>
        <v>0.06</v>
      </c>
      <c r="Z19" s="30">
        <f t="shared" ca="1" si="1"/>
        <v>7.4509283474956556E-2</v>
      </c>
      <c r="AA19" s="30">
        <f t="shared" ca="1" si="1"/>
        <v>5.77502370526927E-2</v>
      </c>
      <c r="AB19" s="30">
        <f t="shared" ca="1" si="1"/>
        <v>6.3386811582929692E-2</v>
      </c>
    </row>
    <row r="20" spans="1:28">
      <c r="A20" s="2">
        <v>15</v>
      </c>
      <c r="B20" s="16">
        <v>6.0999999999999999E-2</v>
      </c>
      <c r="C20" s="39"/>
      <c r="D20" s="36"/>
      <c r="E20" s="14"/>
      <c r="F20" s="23"/>
      <c r="G20" s="10">
        <v>15</v>
      </c>
      <c r="H20" s="17">
        <f ca="1"/>
        <v>6.0999999999999999E-2</v>
      </c>
      <c r="I20" s="18">
        <f ca="1"/>
        <v>7.1052033919304813E-2</v>
      </c>
      <c r="J20" s="18">
        <f ca="1"/>
        <v>5.8599254549841551E-2</v>
      </c>
      <c r="K20" s="19">
        <f ca="1"/>
        <v>6.4150858710017467E-2</v>
      </c>
      <c r="N20" s="27" t="str">
        <f ca="1"/>
        <v/>
      </c>
      <c r="T20" s="28">
        <f>T19+5</f>
        <v>15</v>
      </c>
      <c r="U20" s="28" t="s">
        <v>18</v>
      </c>
      <c r="X20" s="29">
        <f t="shared" si="2"/>
        <v>15</v>
      </c>
      <c r="Y20" s="30">
        <f t="shared" ca="1" si="3"/>
        <v>6.0999999999999999E-2</v>
      </c>
      <c r="Z20" s="30">
        <f t="shared" ca="1" si="1"/>
        <v>7.1052033919304813E-2</v>
      </c>
      <c r="AA20" s="30">
        <f t="shared" ca="1" si="1"/>
        <v>5.8599254549841551E-2</v>
      </c>
      <c r="AB20" s="30">
        <f t="shared" ca="1" si="1"/>
        <v>6.4150858710017467E-2</v>
      </c>
    </row>
    <row r="21" spans="1:28">
      <c r="A21" s="2">
        <v>20</v>
      </c>
      <c r="B21" s="16">
        <v>6.2E-2</v>
      </c>
      <c r="C21" s="39"/>
      <c r="D21" s="36"/>
      <c r="E21" s="14"/>
      <c r="G21" s="10">
        <v>20</v>
      </c>
      <c r="H21" s="17">
        <f ca="1"/>
        <v>6.2E-2</v>
      </c>
      <c r="I21" s="18">
        <f ca="1"/>
        <v>7.3062401311911884E-2</v>
      </c>
      <c r="J21" s="18">
        <f ca="1"/>
        <v>5.9411244769173838E-2</v>
      </c>
      <c r="K21" s="19">
        <f ca="1"/>
        <v>6.4957931473937247E-2</v>
      </c>
      <c r="N21" s="27" t="str">
        <f ca="1"/>
        <v/>
      </c>
      <c r="T21" s="28">
        <f t="shared" ref="T21:T23" si="7">T20+5</f>
        <v>20</v>
      </c>
      <c r="U21" s="28" t="s">
        <v>19</v>
      </c>
      <c r="X21" s="29">
        <f t="shared" si="2"/>
        <v>20</v>
      </c>
      <c r="Y21" s="30">
        <f t="shared" ca="1" si="3"/>
        <v>6.2E-2</v>
      </c>
      <c r="Z21" s="30">
        <f t="shared" ca="1" si="1"/>
        <v>7.3062401311911884E-2</v>
      </c>
      <c r="AA21" s="30">
        <f t="shared" ca="1" si="1"/>
        <v>5.9411244769173838E-2</v>
      </c>
      <c r="AB21" s="30">
        <f t="shared" ca="1" si="1"/>
        <v>6.4957931473937247E-2</v>
      </c>
    </row>
    <row r="22" spans="1:28">
      <c r="A22" s="2">
        <v>25</v>
      </c>
      <c r="B22" s="16">
        <v>6.25E-2</v>
      </c>
      <c r="C22" s="39"/>
      <c r="D22" s="36"/>
      <c r="E22" s="14"/>
      <c r="G22" s="10">
        <v>25</v>
      </c>
      <c r="H22" s="17">
        <f ca="1"/>
        <v>6.25E-2</v>
      </c>
      <c r="I22" s="18">
        <f ca="1"/>
        <v>6.85183933169069E-2</v>
      </c>
      <c r="J22" s="18">
        <f ca="1"/>
        <v>5.9865865272113919E-2</v>
      </c>
      <c r="K22" s="19">
        <f ca="1"/>
        <v>6.5254182942919403E-2</v>
      </c>
      <c r="N22" s="26" t="str">
        <f ca="1"/>
        <v/>
      </c>
      <c r="T22" s="28">
        <f t="shared" si="7"/>
        <v>25</v>
      </c>
      <c r="U22" s="28" t="s">
        <v>20</v>
      </c>
      <c r="X22" s="29">
        <f t="shared" si="2"/>
        <v>25</v>
      </c>
      <c r="Y22" s="30">
        <f t="shared" ca="1" si="3"/>
        <v>6.25E-2</v>
      </c>
      <c r="Z22" s="30">
        <f t="shared" ca="1" si="1"/>
        <v>6.85183933169069E-2</v>
      </c>
      <c r="AA22" s="30">
        <f t="shared" ca="1" si="1"/>
        <v>5.9865865272113919E-2</v>
      </c>
      <c r="AB22" s="30">
        <f t="shared" ca="1" si="1"/>
        <v>6.5254182942919403E-2</v>
      </c>
    </row>
    <row r="23" spans="1:28" ht="13.5" thickBot="1">
      <c r="A23" s="2">
        <v>30</v>
      </c>
      <c r="B23" s="16">
        <v>6.3E-2</v>
      </c>
      <c r="C23" s="39"/>
      <c r="D23" s="36"/>
      <c r="E23" s="14"/>
      <c r="G23" s="10">
        <v>30</v>
      </c>
      <c r="H23" s="20">
        <f ca="1"/>
        <v>6.3E-2</v>
      </c>
      <c r="I23" s="21">
        <f ca="1"/>
        <v>6.9521452121411365E-2</v>
      </c>
      <c r="J23" s="21">
        <f ca="1"/>
        <v>6.0296435744503565E-2</v>
      </c>
      <c r="K23" s="22">
        <f ca="1"/>
        <v>6.5581829080109122E-2</v>
      </c>
      <c r="N23" s="26" t="str">
        <f ca="1"/>
        <v/>
      </c>
      <c r="T23" s="28">
        <f t="shared" si="7"/>
        <v>30</v>
      </c>
      <c r="U23" s="28" t="s">
        <v>21</v>
      </c>
      <c r="X23" s="29">
        <f t="shared" si="2"/>
        <v>30</v>
      </c>
      <c r="Y23" s="30">
        <f t="shared" ca="1" si="3"/>
        <v>6.3E-2</v>
      </c>
      <c r="Z23" s="30">
        <f t="shared" ca="1" si="1"/>
        <v>6.9521452121411365E-2</v>
      </c>
      <c r="AA23" s="30">
        <f t="shared" ca="1" si="1"/>
        <v>6.0296435744503565E-2</v>
      </c>
      <c r="AB23" s="30">
        <f t="shared" ca="1" si="1"/>
        <v>6.5581829080109122E-2</v>
      </c>
    </row>
    <row r="24" spans="1:28">
      <c r="A24" s="2"/>
      <c r="B24" s="38"/>
      <c r="C24" s="14"/>
      <c r="D24" s="36"/>
      <c r="E24" s="14"/>
      <c r="G24" s="10"/>
      <c r="H24" s="43" t="str">
        <f ca="1">showErrorNegativeRate(H10:H23,I10:I23,H9,I9)</f>
        <v/>
      </c>
      <c r="I24" s="18"/>
      <c r="J24" s="18"/>
      <c r="K24" s="18"/>
      <c r="N24" s="26" t="str">
        <f ca="1"/>
        <v/>
      </c>
      <c r="T24" s="28"/>
      <c r="U24" s="28"/>
      <c r="X24" s="29"/>
      <c r="Y24" s="30"/>
      <c r="Z24" s="30"/>
      <c r="AA24" s="30"/>
      <c r="AB24" s="30"/>
    </row>
    <row r="25" spans="1:28">
      <c r="A25" s="2"/>
      <c r="B25" s="38"/>
      <c r="C25" s="14"/>
      <c r="D25" s="36"/>
      <c r="E25" s="14"/>
      <c r="G25" s="10"/>
      <c r="H25" s="18"/>
      <c r="I25" s="18"/>
      <c r="J25" s="18"/>
      <c r="K25" s="18"/>
      <c r="L25" s="41"/>
      <c r="M25" s="41"/>
      <c r="N25" s="26" t="str">
        <f ca="1"/>
        <v/>
      </c>
      <c r="T25" s="28"/>
      <c r="U25" s="28"/>
      <c r="X25" s="29"/>
      <c r="Y25" s="30"/>
      <c r="Z25" s="30"/>
      <c r="AA25" s="30"/>
      <c r="AB25" s="30"/>
    </row>
    <row r="26" spans="1:28">
      <c r="A26" s="2"/>
      <c r="B26" s="38"/>
      <c r="C26" s="14"/>
      <c r="D26" s="36"/>
      <c r="E26" s="14"/>
      <c r="G26" s="10"/>
      <c r="H26" s="40"/>
      <c r="I26" s="40"/>
      <c r="J26" s="40"/>
      <c r="K26" s="40"/>
      <c r="L26" s="42"/>
      <c r="M26" s="41"/>
      <c r="N26" s="26" t="str">
        <f ca="1"/>
        <v/>
      </c>
      <c r="T26" s="28"/>
      <c r="U26" s="28"/>
      <c r="X26" s="29"/>
      <c r="Y26" s="30"/>
      <c r="Z26" s="30"/>
      <c r="AA26" s="30"/>
      <c r="AB26" s="30"/>
    </row>
    <row r="27" spans="1:28">
      <c r="A27" s="2"/>
      <c r="B27" s="38"/>
      <c r="C27" s="14"/>
      <c r="D27" s="36"/>
      <c r="E27" s="14"/>
      <c r="G27" s="10"/>
      <c r="H27" s="40"/>
      <c r="I27" s="40"/>
      <c r="J27" s="40"/>
      <c r="K27" s="40"/>
      <c r="L27" s="42"/>
      <c r="M27" s="41"/>
      <c r="N27" s="26" t="str">
        <f ca="1"/>
        <v/>
      </c>
      <c r="T27" s="28"/>
      <c r="U27" s="28"/>
      <c r="X27" s="29"/>
      <c r="Y27" s="30"/>
      <c r="Z27" s="30"/>
      <c r="AA27" s="30"/>
      <c r="AB27" s="30"/>
    </row>
    <row r="28" spans="1:28">
      <c r="A28" s="2"/>
      <c r="B28" s="38"/>
      <c r="C28" s="14"/>
      <c r="D28" s="36"/>
      <c r="E28" s="14"/>
      <c r="G28" s="10"/>
      <c r="H28" s="40"/>
      <c r="I28" s="40"/>
      <c r="J28" s="40"/>
      <c r="K28" s="40"/>
      <c r="L28" s="42"/>
      <c r="M28" s="41"/>
      <c r="N28" s="26" t="str">
        <f ca="1"/>
        <v/>
      </c>
      <c r="T28" s="28"/>
      <c r="U28" s="28"/>
      <c r="X28" s="29"/>
      <c r="Y28" s="30"/>
      <c r="Z28" s="30"/>
      <c r="AA28" s="30"/>
      <c r="AB28" s="30"/>
    </row>
    <row r="29" spans="1:28">
      <c r="A29" s="2"/>
      <c r="B29" s="38"/>
      <c r="C29" s="14"/>
      <c r="D29" s="36"/>
      <c r="E29" s="14"/>
      <c r="G29" s="10"/>
      <c r="H29" s="40"/>
      <c r="I29" s="40"/>
      <c r="J29" s="40"/>
      <c r="K29" s="40"/>
      <c r="L29" s="42"/>
      <c r="M29" s="41"/>
      <c r="N29" s="26" t="str">
        <f ca="1"/>
        <v/>
      </c>
      <c r="T29" s="28"/>
      <c r="U29" s="28"/>
      <c r="X29" s="29"/>
      <c r="Y29" s="30"/>
      <c r="Z29" s="30"/>
      <c r="AA29" s="30"/>
      <c r="AB29" s="30"/>
    </row>
    <row r="30" spans="1:28">
      <c r="A30" s="2"/>
      <c r="B30" s="38"/>
      <c r="C30" s="14"/>
      <c r="D30" s="36"/>
      <c r="E30" s="14"/>
      <c r="G30" s="10"/>
      <c r="H30" s="40"/>
      <c r="I30" s="40"/>
      <c r="J30" s="40"/>
      <c r="K30" s="40"/>
      <c r="L30" s="42"/>
      <c r="M30" s="41"/>
      <c r="N30" s="11" t="str">
        <f ca="1"/>
        <v/>
      </c>
      <c r="T30" s="28"/>
      <c r="U30" s="28"/>
      <c r="X30" s="29"/>
      <c r="Y30" s="30"/>
      <c r="Z30" s="30"/>
      <c r="AA30" s="30"/>
      <c r="AB30" s="30"/>
    </row>
    <row r="31" spans="1:28">
      <c r="A31" s="37"/>
      <c r="B31" s="38"/>
      <c r="C31" s="14"/>
      <c r="D31" s="36"/>
      <c r="E31" s="14"/>
      <c r="G31" s="10"/>
      <c r="H31" s="40"/>
      <c r="I31" s="18"/>
      <c r="J31" s="18"/>
      <c r="K31" s="18"/>
      <c r="N31" s="11" t="str">
        <f ca="1"/>
        <v/>
      </c>
      <c r="T31" s="28"/>
      <c r="U31" s="28"/>
      <c r="X31" s="29"/>
      <c r="Y31" s="30"/>
      <c r="Z31" s="30"/>
      <c r="AA31" s="30"/>
      <c r="AB31" s="30"/>
    </row>
    <row r="32" spans="1:28">
      <c r="A32" s="37"/>
      <c r="B32" s="38"/>
      <c r="C32" s="14"/>
      <c r="D32" s="36"/>
      <c r="E32" s="14"/>
      <c r="G32" s="10"/>
      <c r="H32" s="40"/>
      <c r="I32" s="18"/>
      <c r="J32" s="18"/>
      <c r="K32" s="18"/>
      <c r="L32" s="41"/>
      <c r="N32" s="11" t="str">
        <f ca="1"/>
        <v/>
      </c>
      <c r="T32" s="28"/>
      <c r="U32" s="28"/>
      <c r="X32" s="29"/>
      <c r="Y32" s="30"/>
      <c r="Z32" s="30"/>
      <c r="AA32" s="30"/>
      <c r="AB32" s="30"/>
    </row>
    <row r="33" spans="1:28">
      <c r="A33" s="37"/>
      <c r="B33" s="38"/>
      <c r="C33" s="14"/>
      <c r="D33" s="36"/>
      <c r="E33" s="14"/>
      <c r="N33" s="44" t="str">
        <f ca="1"/>
        <v/>
      </c>
      <c r="O33" s="44"/>
      <c r="T33" s="28"/>
      <c r="U33" s="28"/>
      <c r="X33" s="29"/>
      <c r="Y33" s="30"/>
      <c r="Z33" s="30"/>
      <c r="AA33" s="30"/>
      <c r="AB33" s="30"/>
    </row>
    <row r="34" spans="1:28">
      <c r="A34" s="37"/>
      <c r="B34" s="38"/>
      <c r="C34" s="14"/>
      <c r="D34" s="36"/>
      <c r="E34" s="14"/>
      <c r="N34" s="44" t="str">
        <f ca="1"/>
        <v/>
      </c>
      <c r="O34" s="44"/>
      <c r="T34" s="28"/>
      <c r="U34" s="28"/>
      <c r="X34" s="29"/>
      <c r="Y34" s="30"/>
      <c r="Z34" s="30"/>
      <c r="AA34" s="30"/>
      <c r="AB34" s="30"/>
    </row>
    <row r="35" spans="1:28">
      <c r="A35" s="37"/>
      <c r="B35" s="38"/>
      <c r="C35" s="14"/>
      <c r="D35" s="36"/>
      <c r="E35" s="14"/>
      <c r="N35" s="44" t="str">
        <f ca="1"/>
        <v/>
      </c>
      <c r="O35" s="44"/>
      <c r="T35" s="28"/>
      <c r="U35" s="28"/>
      <c r="X35" s="29"/>
      <c r="Y35" s="30"/>
      <c r="Z35" s="30"/>
      <c r="AA35" s="30"/>
      <c r="AB35" s="30"/>
    </row>
    <row r="36" spans="1:28">
      <c r="A36" s="37"/>
      <c r="B36" s="38"/>
      <c r="C36" s="14"/>
      <c r="D36" s="36"/>
      <c r="E36" s="14"/>
      <c r="N36" s="44" t="str">
        <f ca="1"/>
        <v/>
      </c>
      <c r="O36" s="44"/>
      <c r="U36" s="28"/>
      <c r="X36" s="29"/>
      <c r="Y36" s="30"/>
      <c r="Z36" s="30"/>
      <c r="AA36" s="30"/>
      <c r="AB36" s="30"/>
    </row>
    <row r="37" spans="1:28">
      <c r="A37" s="37"/>
      <c r="B37" s="38"/>
      <c r="C37" s="14"/>
      <c r="D37" s="36"/>
      <c r="E37" s="14"/>
      <c r="N37" s="44" t="str">
        <f ca="1"/>
        <v/>
      </c>
      <c r="O37" s="44"/>
      <c r="U37" s="28"/>
      <c r="X37" s="29"/>
      <c r="Y37" s="30"/>
      <c r="Z37" s="30"/>
      <c r="AA37" s="30"/>
      <c r="AB37" s="30"/>
    </row>
    <row r="38" spans="1:28">
      <c r="A38" s="37"/>
      <c r="B38" s="38"/>
      <c r="C38" s="14"/>
      <c r="D38" s="36"/>
      <c r="E38" s="14"/>
      <c r="G38" s="10"/>
      <c r="H38" s="18"/>
      <c r="I38" s="18"/>
      <c r="J38" s="18"/>
      <c r="K38" s="18"/>
      <c r="N38" s="11" t="str">
        <f ca="1"/>
        <v/>
      </c>
      <c r="U38" s="28"/>
      <c r="X38" s="29"/>
      <c r="Y38" s="30"/>
      <c r="Z38" s="30"/>
      <c r="AA38" s="30"/>
      <c r="AB38" s="30"/>
    </row>
    <row r="39" spans="1:28">
      <c r="A39" s="37"/>
      <c r="B39" s="38"/>
      <c r="C39" s="14"/>
      <c r="D39" s="36"/>
      <c r="E39" s="14"/>
      <c r="G39" s="10"/>
      <c r="H39" s="18"/>
      <c r="I39" s="18"/>
      <c r="J39" s="18"/>
      <c r="K39" s="18"/>
      <c r="N39" s="11" t="str">
        <f ca="1"/>
        <v/>
      </c>
      <c r="U39" s="28"/>
      <c r="X39" s="29"/>
      <c r="Y39" s="30"/>
      <c r="Z39" s="30"/>
      <c r="AA39" s="30"/>
      <c r="AB39" s="30"/>
    </row>
    <row r="40" spans="1:28">
      <c r="B40" s="23"/>
      <c r="T40" s="28"/>
      <c r="U40" s="28"/>
      <c r="X40" s="29"/>
    </row>
    <row r="41" spans="1:28">
      <c r="B41" s="23"/>
      <c r="H41" s="13"/>
      <c r="T41" s="28"/>
      <c r="U41" s="28"/>
      <c r="X41" s="29"/>
    </row>
    <row r="42" spans="1:28">
      <c r="B42" s="23"/>
      <c r="H42" s="13"/>
      <c r="T42" s="28"/>
      <c r="U42" s="28"/>
      <c r="X42" s="29"/>
    </row>
    <row r="43" spans="1:28">
      <c r="B43" s="23"/>
      <c r="D43" s="54"/>
      <c r="H43" s="13"/>
      <c r="T43" s="28"/>
      <c r="U43" s="28"/>
      <c r="X43" s="29"/>
    </row>
    <row r="44" spans="1:28">
      <c r="B44" s="23"/>
      <c r="H44" s="13"/>
      <c r="T44" s="28"/>
      <c r="U44" s="28"/>
      <c r="X44" s="29"/>
    </row>
    <row r="45" spans="1:28">
      <c r="B45" s="23"/>
      <c r="H45" s="13"/>
      <c r="T45" s="28"/>
      <c r="U45" s="28"/>
      <c r="X45" s="29"/>
    </row>
    <row r="46" spans="1:28">
      <c r="B46" s="23"/>
      <c r="H46" s="13"/>
      <c r="T46" s="28"/>
      <c r="U46" s="28"/>
      <c r="X46" s="29"/>
    </row>
    <row r="47" spans="1:28">
      <c r="B47" s="23"/>
      <c r="H47" s="13"/>
      <c r="T47" s="28"/>
      <c r="U47" s="28"/>
      <c r="X47" s="29"/>
    </row>
    <row r="48" spans="1:28">
      <c r="B48" s="23"/>
      <c r="H48" s="13"/>
      <c r="T48" s="28"/>
      <c r="U48" s="28"/>
      <c r="X48" s="29"/>
    </row>
    <row r="49" spans="2:24">
      <c r="B49" s="23"/>
      <c r="H49" s="13"/>
      <c r="T49" s="28"/>
      <c r="U49" s="28"/>
      <c r="X49" s="29"/>
    </row>
    <row r="50" spans="2:24">
      <c r="B50" s="23"/>
      <c r="H50" s="13"/>
      <c r="T50" s="28"/>
      <c r="U50" s="28"/>
      <c r="X50" s="29"/>
    </row>
    <row r="51" spans="2:24">
      <c r="B51" s="49"/>
      <c r="C51" s="50"/>
      <c r="D51" s="50"/>
      <c r="E51" s="50"/>
      <c r="F51" s="50"/>
      <c r="G51" s="50"/>
      <c r="H51" s="50"/>
      <c r="I51" s="50"/>
      <c r="J51" s="50"/>
      <c r="K51" s="50"/>
      <c r="L51" s="51"/>
      <c r="M51" s="51"/>
      <c r="T51" s="28"/>
      <c r="U51" s="28"/>
      <c r="X51" s="29"/>
    </row>
    <row r="52" spans="2:24">
      <c r="B52" s="46"/>
      <c r="C52" s="37"/>
      <c r="D52" s="10"/>
      <c r="E52" s="37"/>
      <c r="F52" s="40"/>
      <c r="G52" s="18"/>
      <c r="H52" s="37"/>
      <c r="I52" s="40"/>
      <c r="J52" s="37"/>
      <c r="K52" s="37"/>
      <c r="L52" s="52"/>
      <c r="M52" s="51"/>
      <c r="T52" s="28"/>
      <c r="U52" s="28"/>
      <c r="X52" s="29"/>
    </row>
    <row r="53" spans="2:24">
      <c r="B53" s="46"/>
      <c r="C53" s="37"/>
      <c r="D53" s="10"/>
      <c r="E53" s="40"/>
      <c r="F53" s="18"/>
      <c r="G53" s="18"/>
      <c r="H53" s="18"/>
      <c r="I53" s="18"/>
      <c r="J53" s="18"/>
      <c r="K53" s="37"/>
      <c r="L53" s="52"/>
      <c r="M53" s="51"/>
      <c r="T53" s="28"/>
      <c r="U53" s="28"/>
      <c r="X53" s="29"/>
    </row>
    <row r="54" spans="2:24">
      <c r="B54" s="46"/>
      <c r="C54" s="40"/>
      <c r="D54" s="45"/>
      <c r="E54" s="46"/>
      <c r="F54" s="48"/>
      <c r="G54" s="47"/>
      <c r="H54" s="53"/>
      <c r="I54" s="48"/>
      <c r="J54" s="53"/>
      <c r="K54" s="53"/>
      <c r="L54" s="52"/>
      <c r="M54" s="51"/>
      <c r="T54" s="28"/>
      <c r="U54" s="28"/>
      <c r="X54" s="29"/>
    </row>
    <row r="55" spans="2:24">
      <c r="B55" s="46"/>
      <c r="C55" s="40"/>
      <c r="D55" s="45"/>
      <c r="E55" s="46"/>
      <c r="F55" s="48"/>
      <c r="G55" s="47"/>
      <c r="H55" s="53"/>
      <c r="I55" s="48"/>
      <c r="J55" s="53"/>
      <c r="K55" s="53"/>
      <c r="L55" s="52"/>
      <c r="M55" s="51"/>
      <c r="T55" s="28"/>
      <c r="U55" s="28"/>
      <c r="X55" s="29"/>
    </row>
    <row r="56" spans="2:24">
      <c r="B56" s="46"/>
      <c r="C56" s="40"/>
      <c r="D56" s="45"/>
      <c r="E56" s="46"/>
      <c r="F56" s="48"/>
      <c r="G56" s="47"/>
      <c r="H56" s="53"/>
      <c r="I56" s="48"/>
      <c r="J56" s="53"/>
      <c r="K56" s="53"/>
      <c r="L56" s="52"/>
      <c r="M56" s="51"/>
      <c r="T56" s="28"/>
      <c r="U56" s="28"/>
      <c r="X56" s="29"/>
    </row>
    <row r="57" spans="2:24">
      <c r="B57" s="46"/>
      <c r="C57" s="37"/>
      <c r="D57" s="37"/>
      <c r="E57" s="37"/>
      <c r="F57" s="37"/>
      <c r="G57" s="37"/>
      <c r="H57" s="37"/>
      <c r="I57" s="37"/>
      <c r="J57" s="37"/>
      <c r="K57" s="37"/>
      <c r="L57" s="52"/>
      <c r="M57" s="51"/>
      <c r="T57" s="28"/>
      <c r="U57" s="28"/>
      <c r="X57" s="29"/>
    </row>
    <row r="58" spans="2:24">
      <c r="B58" s="46"/>
      <c r="C58" s="37"/>
      <c r="D58" s="37"/>
      <c r="E58" s="37"/>
      <c r="F58" s="37"/>
      <c r="G58" s="37"/>
      <c r="H58" s="37"/>
      <c r="I58" s="37"/>
      <c r="J58" s="37"/>
      <c r="K58" s="53"/>
      <c r="L58" s="52"/>
      <c r="M58" s="51"/>
      <c r="T58" s="28"/>
      <c r="U58" s="28"/>
      <c r="X58" s="29"/>
    </row>
    <row r="59" spans="2:24">
      <c r="B59" s="49"/>
      <c r="C59" s="50"/>
      <c r="D59" s="50"/>
      <c r="E59" s="50"/>
      <c r="F59" s="50"/>
      <c r="G59" s="50"/>
      <c r="H59" s="50"/>
      <c r="I59" s="50"/>
      <c r="J59" s="50"/>
      <c r="K59" s="50"/>
      <c r="L59" s="51"/>
      <c r="M59" s="51"/>
      <c r="T59" s="28"/>
      <c r="U59" s="28"/>
      <c r="X59" s="29"/>
    </row>
    <row r="60" spans="2:24">
      <c r="B60" s="49"/>
      <c r="C60" s="50"/>
      <c r="D60" s="50"/>
      <c r="E60" s="50"/>
      <c r="F60" s="50"/>
      <c r="G60" s="50"/>
      <c r="H60" s="50"/>
      <c r="I60" s="50"/>
      <c r="J60" s="50"/>
      <c r="K60" s="50"/>
      <c r="L60" s="51"/>
      <c r="M60" s="51"/>
      <c r="T60" s="28"/>
      <c r="U60" s="28"/>
      <c r="X60" s="29"/>
    </row>
    <row r="61" spans="2:24">
      <c r="B61" s="49"/>
      <c r="C61" s="50"/>
      <c r="D61" s="50"/>
      <c r="E61" s="50"/>
      <c r="F61" s="50"/>
      <c r="G61" s="50"/>
      <c r="H61" s="50"/>
      <c r="I61" s="50"/>
      <c r="J61" s="50"/>
      <c r="K61" s="50"/>
      <c r="L61" s="51"/>
      <c r="M61" s="51"/>
      <c r="T61" s="28"/>
      <c r="U61" s="28"/>
      <c r="X61" s="29"/>
    </row>
    <row r="62" spans="2:24">
      <c r="B62" s="49"/>
      <c r="C62" s="50"/>
      <c r="D62" s="50"/>
      <c r="E62" s="50"/>
      <c r="F62" s="50"/>
      <c r="G62" s="50"/>
      <c r="H62" s="50"/>
      <c r="I62" s="50"/>
      <c r="J62" s="50"/>
      <c r="K62" s="50"/>
      <c r="L62" s="51"/>
      <c r="M62" s="51"/>
      <c r="T62" s="28"/>
      <c r="U62" s="28"/>
      <c r="X62" s="29"/>
    </row>
    <row r="63" spans="2:24">
      <c r="B63" s="23"/>
      <c r="T63" s="28"/>
      <c r="U63" s="28"/>
      <c r="X63" s="29"/>
    </row>
    <row r="64" spans="2:24">
      <c r="B64" s="23"/>
      <c r="T64" s="28"/>
      <c r="U64" s="28"/>
      <c r="X64" s="29"/>
    </row>
    <row r="65" spans="20:24">
      <c r="T65" s="28"/>
      <c r="U65" s="28"/>
      <c r="X65" s="29"/>
    </row>
    <row r="66" spans="20:24">
      <c r="T66" s="28"/>
      <c r="U66" s="28"/>
      <c r="X66" s="29"/>
    </row>
    <row r="67" spans="20:24">
      <c r="T67" s="28"/>
      <c r="U67" s="28"/>
      <c r="X67" s="29"/>
    </row>
    <row r="68" spans="20:24">
      <c r="T68" s="28"/>
      <c r="U68" s="28"/>
      <c r="X68" s="29"/>
    </row>
    <row r="69" spans="20:24">
      <c r="T69" s="28"/>
      <c r="U69" s="28"/>
      <c r="X69" s="29"/>
    </row>
  </sheetData>
  <mergeCells count="2">
    <mergeCell ref="H8:K8"/>
    <mergeCell ref="C8:E8"/>
  </mergeCell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Interest Rate Measures</vt:lpstr>
      <vt:lpstr>mat_1</vt:lpstr>
      <vt:lpstr>mat_2</vt:lpstr>
      <vt:lpstr>'Interest Rate Measures'!Print_Area</vt:lpstr>
    </vt:vector>
  </TitlesOfParts>
  <Company>?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?</dc:creator>
  <cp:lastModifiedBy>GGS</cp:lastModifiedBy>
  <cp:lastPrinted>2010-02-17T20:15:02Z</cp:lastPrinted>
  <dcterms:created xsi:type="dcterms:W3CDTF">1998-07-02T07:40:52Z</dcterms:created>
  <dcterms:modified xsi:type="dcterms:W3CDTF">2010-03-31T14:06:46Z</dcterms:modified>
</cp:coreProperties>
</file>